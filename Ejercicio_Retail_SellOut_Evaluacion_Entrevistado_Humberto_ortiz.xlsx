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X50003\Documents\"/>
    </mc:Choice>
  </mc:AlternateContent>
  <xr:revisionPtr revIDLastSave="0" documentId="8_{BC60B109-D9AA-4026-9202-F082BBB935F7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Instrucciones" sheetId="2" r:id="rId1"/>
    <sheet name="Hoja5" sheetId="7" state="hidden" r:id="rId2"/>
    <sheet name="Base de Datos" sheetId="1" r:id="rId3"/>
    <sheet name="dashboard" sheetId="3" r:id="rId4"/>
  </sheets>
  <definedNames>
    <definedName name="_xlnm._FilterDatabase" localSheetId="2" hidden="1">'Base de Datos'!$A$1:$N$13</definedName>
  </definedNames>
  <calcPr calcId="191029"/>
  <pivotCaches>
    <pivotCache cacheId="1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" i="1" l="1"/>
  <c r="I3" i="1"/>
  <c r="J3" i="1"/>
  <c r="K3" i="1"/>
  <c r="L3" i="1"/>
  <c r="M3" i="1"/>
  <c r="N3" i="1"/>
  <c r="I4" i="1"/>
  <c r="J4" i="1"/>
  <c r="K4" i="1"/>
  <c r="L4" i="1"/>
  <c r="M4" i="1"/>
  <c r="N4" i="1"/>
  <c r="I5" i="1"/>
  <c r="J5" i="1"/>
  <c r="N5" i="1"/>
  <c r="I6" i="1"/>
  <c r="J6" i="1"/>
  <c r="K6" i="1"/>
  <c r="L6" i="1" s="1"/>
  <c r="N6" i="1"/>
  <c r="I7" i="1"/>
  <c r="J7" i="1"/>
  <c r="N7" i="1"/>
  <c r="I8" i="1"/>
  <c r="J8" i="1"/>
  <c r="N8" i="1"/>
  <c r="I9" i="1"/>
  <c r="J9" i="1"/>
  <c r="N9" i="1"/>
  <c r="I10" i="1"/>
  <c r="J10" i="1"/>
  <c r="N10" i="1"/>
  <c r="I11" i="1"/>
  <c r="J11" i="1"/>
  <c r="K11" i="1"/>
  <c r="L11" i="1" s="1"/>
  <c r="M11" i="1"/>
  <c r="N11" i="1"/>
  <c r="I12" i="1"/>
  <c r="J12" i="1"/>
  <c r="K12" i="1"/>
  <c r="L12" i="1" s="1"/>
  <c r="N12" i="1"/>
  <c r="I13" i="1"/>
  <c r="K13" i="1" s="1"/>
  <c r="J13" i="1"/>
  <c r="N13" i="1"/>
  <c r="N2" i="1"/>
  <c r="I2" i="1"/>
  <c r="J2" i="1"/>
  <c r="L13" i="1" l="1"/>
  <c r="M13" i="1"/>
  <c r="K5" i="1"/>
  <c r="L5" i="1" s="1"/>
  <c r="K9" i="1"/>
  <c r="K2" i="1"/>
  <c r="F26" i="1"/>
  <c r="M2" i="1"/>
  <c r="L2" i="1"/>
  <c r="K10" i="1"/>
  <c r="M10" i="1" s="1"/>
  <c r="K8" i="1"/>
  <c r="K7" i="1"/>
  <c r="M7" i="1" s="1"/>
  <c r="M9" i="1"/>
  <c r="L9" i="1"/>
  <c r="L8" i="1"/>
  <c r="M8" i="1"/>
  <c r="M6" i="1"/>
  <c r="M12" i="1"/>
  <c r="L10" i="1" l="1"/>
  <c r="L7" i="1"/>
</calcChain>
</file>

<file path=xl/sharedStrings.xml><?xml version="1.0" encoding="utf-8"?>
<sst xmlns="http://schemas.openxmlformats.org/spreadsheetml/2006/main" count="165" uniqueCount="45">
  <si>
    <t>Mes</t>
  </si>
  <si>
    <t>Cadena</t>
  </si>
  <si>
    <t>Producto</t>
  </si>
  <si>
    <t>Precio Regular</t>
  </si>
  <si>
    <t>Precio Promo</t>
  </si>
  <si>
    <t>Unidades Vendidas</t>
  </si>
  <si>
    <t>Costo Unitario</t>
  </si>
  <si>
    <t>Inversión Promo</t>
  </si>
  <si>
    <t>Enero</t>
  </si>
  <si>
    <t>Walmart</t>
  </si>
  <si>
    <t>A</t>
  </si>
  <si>
    <t>B</t>
  </si>
  <si>
    <t>Soriana</t>
  </si>
  <si>
    <t>C</t>
  </si>
  <si>
    <t>Febrero</t>
  </si>
  <si>
    <t>Chedraui</t>
  </si>
  <si>
    <t>Marzo</t>
  </si>
  <si>
    <t>1. Calcular las siguientes columnas adicionales:</t>
  </si>
  <si>
    <t>2. Responder con análisis numérico:</t>
  </si>
  <si>
    <t xml:space="preserve">   - ¿Qué producto genera mayor utilidad total?</t>
  </si>
  <si>
    <t xml:space="preserve">   - ¿Qué cadena tiene mejor margen promedio?</t>
  </si>
  <si>
    <t xml:space="preserve">   - ¿Las promociones generan ROI positivo?</t>
  </si>
  <si>
    <t xml:space="preserve">   - ¿Existe correlación entre descuento y volumen?</t>
  </si>
  <si>
    <t>3. Construir un dashboard con tablas dinámicas y gráficas.</t>
  </si>
  <si>
    <t>INSTRUCCIONES :</t>
  </si>
  <si>
    <t xml:space="preserve">   - Venta Neta</t>
  </si>
  <si>
    <t xml:space="preserve">   - Costo Total</t>
  </si>
  <si>
    <t xml:space="preserve">   - Utilidad Bruta </t>
  </si>
  <si>
    <t xml:space="preserve">   - Margen %</t>
  </si>
  <si>
    <t xml:space="preserve">   - ROI Promoción </t>
  </si>
  <si>
    <t xml:space="preserve">   - Descuento %</t>
  </si>
  <si>
    <t>R-</t>
  </si>
  <si>
    <t>Etiquetas de fila</t>
  </si>
  <si>
    <t>Total general</t>
  </si>
  <si>
    <t xml:space="preserve">Suma de    - Utilidad Bruta </t>
  </si>
  <si>
    <t>Suma de    - Margen %</t>
  </si>
  <si>
    <t>- Cadena de Walmart, 178% margen bruto con demostrado en Hoja Dashboard</t>
  </si>
  <si>
    <t>- Producto A, con 432k de utilidad bruta Demostrado Hoja Dashboard</t>
  </si>
  <si>
    <t xml:space="preserve">Correlacion </t>
  </si>
  <si>
    <t xml:space="preserve">- Al ser mayor de .50 si existe una relacion entre el descuento y volumne vendido pero sin crear una dependencia </t>
  </si>
  <si>
    <t>Las Promociones que generaron ROI positivo por mes son: ( reflejadas en la columna ROI en verde)</t>
  </si>
  <si>
    <t xml:space="preserve">Utilidad Bruta </t>
  </si>
  <si>
    <t>Margen %</t>
  </si>
  <si>
    <t>Suma de    - Costo Total</t>
  </si>
  <si>
    <t>(Todas)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</si>
</sst>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7" formatCode="0.000%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27">
    <xf numFmtId="0" fontId="0" fillId="0" borderId="0" xfId="0"/>
    <xf numFmtId="0" fontId="1" fillId="0" borderId="0" xfId="0" applyFont="1"/>
    <xf numFmtId="0" fontId="2" fillId="2" borderId="0" xfId="0" applyFont="1" applyFill="1"/>
    <xf numFmtId="4" fontId="0" fillId="0" borderId="0" xfId="0" applyNumberFormat="1"/>
    <xf numFmtId="43" fontId="0" fillId="0" borderId="0" xfId="0" applyNumberFormat="1"/>
    <xf numFmtId="43" fontId="0" fillId="3" borderId="0" xfId="1" applyNumberFormat="1" applyFont="1" applyFill="1"/>
    <xf numFmtId="43" fontId="0" fillId="3" borderId="0" xfId="1" applyFont="1" applyFill="1"/>
    <xf numFmtId="43" fontId="0" fillId="3" borderId="0" xfId="0" applyNumberFormat="1" applyFill="1"/>
    <xf numFmtId="10" fontId="0" fillId="3" borderId="0" xfId="2" applyNumberFormat="1" applyFont="1" applyFill="1"/>
    <xf numFmtId="167" fontId="0" fillId="3" borderId="0" xfId="2" applyNumberFormat="1" applyFont="1" applyFill="1"/>
    <xf numFmtId="0" fontId="0" fillId="0" borderId="0" xfId="0" quotePrefix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1" fillId="3" borderId="0" xfId="0" applyFont="1" applyFill="1" applyBorder="1" applyAlignment="1">
      <alignment horizontal="center"/>
    </xf>
    <xf numFmtId="2" fontId="0" fillId="3" borderId="0" xfId="0" applyNumberFormat="1" applyFill="1" applyBorder="1" applyAlignment="1">
      <alignment horizontal="center"/>
    </xf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Utilidas Bruta  por Producto/Socio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s-MX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8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Lit>
              <c:ptCount val="12"/>
              <c:pt idx="0">
                <c:v>Enero Soriana A</c:v>
              </c:pt>
              <c:pt idx="1">
                <c:v>Enero Soriana C</c:v>
              </c:pt>
              <c:pt idx="2">
                <c:v>Enero Walmart A</c:v>
              </c:pt>
              <c:pt idx="3">
                <c:v>Enero Walmart B</c:v>
              </c:pt>
              <c:pt idx="4">
                <c:v>Febrero Chedraui A</c:v>
              </c:pt>
              <c:pt idx="5">
                <c:v>Febrero Soriana C</c:v>
              </c:pt>
              <c:pt idx="6">
                <c:v>Febrero Walmart A</c:v>
              </c:pt>
              <c:pt idx="7">
                <c:v>Febrero Walmart B</c:v>
              </c:pt>
              <c:pt idx="8">
                <c:v>Marzo Chedraui C</c:v>
              </c:pt>
              <c:pt idx="9">
                <c:v>Marzo Soriana B</c:v>
              </c:pt>
              <c:pt idx="10">
                <c:v>Marzo Walmart A</c:v>
              </c:pt>
              <c:pt idx="11">
                <c:v>Marzo Walmart C</c:v>
              </c:pt>
            </c:strLit>
          </c:cat>
          <c:val>
            <c:numLit>
              <c:formatCode>General</c:formatCode>
              <c:ptCount val="12"/>
              <c:pt idx="0">
                <c:v>75600</c:v>
              </c:pt>
              <c:pt idx="1">
                <c:v>54600</c:v>
              </c:pt>
              <c:pt idx="2">
                <c:v>90200</c:v>
              </c:pt>
              <c:pt idx="3">
                <c:v>73200</c:v>
              </c:pt>
              <c:pt idx="4">
                <c:v>59500</c:v>
              </c:pt>
              <c:pt idx="5">
                <c:v>58800</c:v>
              </c:pt>
              <c:pt idx="6">
                <c:v>100100</c:v>
              </c:pt>
              <c:pt idx="7">
                <c:v>104400</c:v>
              </c:pt>
              <c:pt idx="8">
                <c:v>45000</c:v>
              </c:pt>
              <c:pt idx="9">
                <c:v>64400</c:v>
              </c:pt>
              <c:pt idx="10">
                <c:v>106700</c:v>
              </c:pt>
              <c:pt idx="11">
                <c:v>50000</c:v>
              </c:pt>
            </c:numLit>
          </c:val>
          <c:extLst>
            <c:ext xmlns:c16="http://schemas.microsoft.com/office/drawing/2014/chart" uri="{C3380CC4-5D6E-409C-BE32-E72D297353CC}">
              <c16:uniqueId val="{00000000-FD8F-4489-A745-A7140431AE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086500640"/>
        <c:axId val="2086503040"/>
        <c:axId val="0"/>
      </c:bar3DChart>
      <c:catAx>
        <c:axId val="2086500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086503040"/>
        <c:crosses val="autoZero"/>
        <c:auto val="1"/>
        <c:lblAlgn val="ctr"/>
        <c:lblOffset val="100"/>
        <c:noMultiLvlLbl val="0"/>
      </c:catAx>
      <c:valAx>
        <c:axId val="2086503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086500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[Ejercicio_Retail_SellOut_Evaluacion_Entrevistado_Humberto_ortiz.xlsx]Hoja5!TablaDinámica12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Costo</a:t>
            </a:r>
            <a:r>
              <a:rPr lang="es-MX" baseline="0"/>
              <a:t> vs Utilidad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Hoja5!$B$3</c:f>
              <c:strCache>
                <c:ptCount val="1"/>
                <c:pt idx="0">
                  <c:v>Suma de    - Costo 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Hoja5!$A$4:$A$7</c:f>
              <c:strCache>
                <c:ptCount val="3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</c:strCache>
            </c:strRef>
          </c:cat>
          <c:val>
            <c:numRef>
              <c:f>Hoja5!$B$4:$B$7</c:f>
              <c:numCache>
                <c:formatCode>_(* #,##0.00_);_(* \(#,##0.00\);_(* "-"??_);_(@_)</c:formatCode>
                <c:ptCount val="3"/>
                <c:pt idx="0">
                  <c:v>744200</c:v>
                </c:pt>
                <c:pt idx="1">
                  <c:v>718000</c:v>
                </c:pt>
                <c:pt idx="2">
                  <c:v>648000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B2-4B19-BCC8-147EC01BD809}"/>
            </c:ext>
          </c:extLst>
        </c:ser>
        <c:ser>
          <c:idx val="1"/>
          <c:order val="1"/>
          <c:tx>
            <c:strRef>
              <c:f>Hoja5!$C$3</c:f>
              <c:strCache>
                <c:ptCount val="1"/>
                <c:pt idx="0">
                  <c:v>Suma de    - Utilidad Bruta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Hoja5!$A$4:$A$7</c:f>
              <c:strCache>
                <c:ptCount val="3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</c:strCache>
            </c:strRef>
          </c:cat>
          <c:val>
            <c:numRef>
              <c:f>Hoja5!$C$4:$C$7</c:f>
              <c:numCache>
                <c:formatCode>_(* #,##0.00_);_(* \(#,##0.00\);_(* "-"??_);_(@_)</c:formatCode>
                <c:ptCount val="3"/>
                <c:pt idx="0">
                  <c:v>293600</c:v>
                </c:pt>
                <c:pt idx="1">
                  <c:v>322800</c:v>
                </c:pt>
                <c:pt idx="2">
                  <c:v>266100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B2-4B19-BCC8-147EC01BD8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88377984"/>
        <c:axId val="2088377024"/>
      </c:barChart>
      <c:catAx>
        <c:axId val="20883779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088377024"/>
        <c:crosses val="autoZero"/>
        <c:auto val="1"/>
        <c:lblAlgn val="ctr"/>
        <c:lblOffset val="100"/>
        <c:noMultiLvlLbl val="0"/>
      </c:catAx>
      <c:valAx>
        <c:axId val="2088377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088377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[Ejercicio_Retail_SellOut_Evaluacion_Entrevistado_Humberto_ortiz.xlsx]dashboard!TablaDinámica16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Margen</a:t>
            </a:r>
            <a:r>
              <a:rPr lang="en-US" baseline="0"/>
              <a:t> por Socio y producto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dashboard!$B$31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dashboard!$A$32:$A$43</c:f>
              <c:multiLvlStrCache>
                <c:ptCount val="8"/>
                <c:lvl>
                  <c:pt idx="0">
                    <c:v>A</c:v>
                  </c:pt>
                  <c:pt idx="1">
                    <c:v>C</c:v>
                  </c:pt>
                  <c:pt idx="2">
                    <c:v>A</c:v>
                  </c:pt>
                  <c:pt idx="3">
                    <c:v>B</c:v>
                  </c:pt>
                  <c:pt idx="4">
                    <c:v>C</c:v>
                  </c:pt>
                  <c:pt idx="5">
                    <c:v>A</c:v>
                  </c:pt>
                  <c:pt idx="6">
                    <c:v>B</c:v>
                  </c:pt>
                  <c:pt idx="7">
                    <c:v>C</c:v>
                  </c:pt>
                </c:lvl>
                <c:lvl>
                  <c:pt idx="0">
                    <c:v>Chedraui</c:v>
                  </c:pt>
                  <c:pt idx="2">
                    <c:v>Soriana</c:v>
                  </c:pt>
                  <c:pt idx="5">
                    <c:v>Walmart</c:v>
                  </c:pt>
                </c:lvl>
              </c:multiLvlStrCache>
            </c:multiLvlStrRef>
          </c:cat>
          <c:val>
            <c:numRef>
              <c:f>dashboard!$B$32:$B$43</c:f>
              <c:numCache>
                <c:formatCode>0.00%</c:formatCode>
                <c:ptCount val="8"/>
                <c:pt idx="0">
                  <c:v>0.37777777777777777</c:v>
                </c:pt>
                <c:pt idx="1">
                  <c:v>0.27272727272727271</c:v>
                </c:pt>
                <c:pt idx="2">
                  <c:v>0.33333333333333331</c:v>
                </c:pt>
                <c:pt idx="3">
                  <c:v>0.29166666666666669</c:v>
                </c:pt>
                <c:pt idx="4">
                  <c:v>0.51851851851851849</c:v>
                </c:pt>
                <c:pt idx="5">
                  <c:v>0.84615384615384615</c:v>
                </c:pt>
                <c:pt idx="6">
                  <c:v>0.60702341137123739</c:v>
                </c:pt>
                <c:pt idx="7">
                  <c:v>0.33333333333333331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01-4778-98B4-C09E227863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25932656"/>
        <c:axId val="2025910704"/>
      </c:barChart>
      <c:catAx>
        <c:axId val="20259326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025910704"/>
        <c:crosses val="autoZero"/>
        <c:auto val="1"/>
        <c:lblAlgn val="ctr"/>
        <c:lblOffset val="100"/>
        <c:noMultiLvlLbl val="0"/>
      </c:catAx>
      <c:valAx>
        <c:axId val="2025910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025932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728552</xdr:colOff>
      <xdr:row>0</xdr:row>
      <xdr:rowOff>79214</xdr:rowOff>
    </xdr:from>
    <xdr:to>
      <xdr:col>12</xdr:col>
      <xdr:colOff>342254</xdr:colOff>
      <xdr:row>18</xdr:row>
      <xdr:rowOff>30214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BD9CDFB-53BF-4B2D-BB75-C200090FF2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272143</xdr:colOff>
      <xdr:row>20</xdr:row>
      <xdr:rowOff>151190</xdr:rowOff>
    </xdr:from>
    <xdr:to>
      <xdr:col>12</xdr:col>
      <xdr:colOff>131032</xdr:colOff>
      <xdr:row>38</xdr:row>
      <xdr:rowOff>40316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A8D0BDC7-59F6-4EB4-8E74-44F686B7F8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5773</xdr:colOff>
      <xdr:row>20</xdr:row>
      <xdr:rowOff>175491</xdr:rowOff>
    </xdr:from>
    <xdr:to>
      <xdr:col>20</xdr:col>
      <xdr:colOff>311727</xdr:colOff>
      <xdr:row>38</xdr:row>
      <xdr:rowOff>46182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8B71A3CB-9474-459D-E836-9364699A7F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umberto Ortiz Espinoza" refreshedDate="46070.702073842593" createdVersion="8" refreshedVersion="8" minRefreshableVersion="3" recordCount="12" xr:uid="{FB62E2AD-C0B8-4727-BB7D-F65FCA90A667}">
  <cacheSource type="worksheet">
    <worksheetSource ref="A1:N13" sheet="Base de Datos"/>
  </cacheSource>
  <cacheFields count="14">
    <cacheField name="Mes" numFmtId="0">
      <sharedItems count="3">
        <s v="Enero"/>
        <s v="Febrero"/>
        <s v="Marzo"/>
      </sharedItems>
    </cacheField>
    <cacheField name="Cadena" numFmtId="0">
      <sharedItems count="3">
        <s v="Walmart"/>
        <s v="Soriana"/>
        <s v="Chedraui"/>
      </sharedItems>
    </cacheField>
    <cacheField name="Producto" numFmtId="0">
      <sharedItems count="3">
        <s v="A"/>
        <s v="B"/>
        <s v="C"/>
      </sharedItems>
    </cacheField>
    <cacheField name="Precio Regular" numFmtId="4">
      <sharedItems containsSemiMixedTypes="0" containsString="0" containsNumber="1" containsInteger="1" minValue="45" maxValue="60"/>
    </cacheField>
    <cacheField name="Precio Promo" numFmtId="4">
      <sharedItems containsSemiMixedTypes="0" containsString="0" containsNumber="1" containsInteger="1" minValue="39" maxValue="60"/>
    </cacheField>
    <cacheField name="Unidades Vendidas" numFmtId="4">
      <sharedItems containsSemiMixedTypes="0" containsString="0" containsNumber="1" containsInteger="1" minValue="2500" maxValue="9700"/>
    </cacheField>
    <cacheField name="Costo Unitario" numFmtId="4">
      <sharedItems containsSemiMixedTypes="0" containsString="0" containsNumber="1" containsInteger="1" minValue="28" maxValue="40"/>
    </cacheField>
    <cacheField name="Inversión Promo" numFmtId="4">
      <sharedItems containsSemiMixedTypes="0" containsString="0" containsNumber="1" containsInteger="1" minValue="0" maxValue="50000"/>
    </cacheField>
    <cacheField name="   - Venta Neta" numFmtId="43">
      <sharedItems containsSemiMixedTypes="0" containsString="0" containsNumber="1" containsInteger="1" minValue="150000" maxValue="378300"/>
    </cacheField>
    <cacheField name="   - Costo Total" numFmtId="43">
      <sharedItems containsSemiMixedTypes="0" containsString="0" containsNumber="1" containsInteger="1" minValue="98000" maxValue="271600"/>
    </cacheField>
    <cacheField name="   - Utilidad Bruta " numFmtId="43">
      <sharedItems containsSemiMixedTypes="0" containsString="0" containsNumber="1" containsInteger="1" minValue="45000" maxValue="106700"/>
    </cacheField>
    <cacheField name="   - Margen %" numFmtId="10">
      <sharedItems containsSemiMixedTypes="0" containsString="0" containsNumber="1" minValue="0.25925925925925924" maxValue="0.37777777777777777"/>
    </cacheField>
    <cacheField name="   - ROI Promoción " numFmtId="10">
      <sharedItems containsSemiMixedTypes="0" containsString="0" containsNumber="1" minValue="0" maxValue="2.2200000000000002"/>
    </cacheField>
    <cacheField name="   - Descuento %" numFmtId="167">
      <sharedItems containsSemiMixedTypes="0" containsString="0" containsNumber="1" minValue="0" maxValue="0.1333333333333333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x v="0"/>
    <x v="0"/>
    <n v="45"/>
    <n v="39"/>
    <n v="8200"/>
    <n v="28"/>
    <n v="45000"/>
    <n v="319800"/>
    <n v="229600"/>
    <n v="90200"/>
    <n v="0.28205128205128205"/>
    <n v="1.0044444444444445"/>
    <n v="0.13333333333333333"/>
  </r>
  <r>
    <x v="0"/>
    <x v="0"/>
    <x v="1"/>
    <n v="52"/>
    <n v="46"/>
    <n v="6100"/>
    <n v="34"/>
    <n v="38000"/>
    <n v="280600"/>
    <n v="207400"/>
    <n v="73200"/>
    <n v="0.2608695652173913"/>
    <n v="0.9263157894736842"/>
    <n v="0.11538461538461539"/>
  </r>
  <r>
    <x v="0"/>
    <x v="1"/>
    <x v="0"/>
    <n v="45"/>
    <n v="42"/>
    <n v="5400"/>
    <n v="28"/>
    <n v="25000"/>
    <n v="226800"/>
    <n v="151200"/>
    <n v="75600"/>
    <n v="0.33333333333333331"/>
    <n v="2.024"/>
    <n v="6.6666666666666666E-2"/>
  </r>
  <r>
    <x v="0"/>
    <x v="1"/>
    <x v="2"/>
    <n v="60"/>
    <n v="54"/>
    <n v="3900"/>
    <n v="40"/>
    <n v="22000"/>
    <n v="210600"/>
    <n v="156000"/>
    <n v="54600"/>
    <n v="0.25925925925925924"/>
    <n v="1.4818181818181819"/>
    <n v="0.1"/>
  </r>
  <r>
    <x v="1"/>
    <x v="0"/>
    <x v="0"/>
    <n v="45"/>
    <n v="39"/>
    <n v="9100"/>
    <n v="28"/>
    <n v="47000"/>
    <n v="354900"/>
    <n v="254800"/>
    <n v="100100"/>
    <n v="0.28205128205128205"/>
    <n v="1.1297872340425532"/>
    <n v="0.13333333333333333"/>
  </r>
  <r>
    <x v="1"/>
    <x v="0"/>
    <x v="1"/>
    <n v="52"/>
    <n v="52"/>
    <n v="5800"/>
    <n v="34"/>
    <n v="0"/>
    <n v="301600"/>
    <n v="197200"/>
    <n v="104400"/>
    <n v="0.34615384615384615"/>
    <n v="0"/>
    <n v="0"/>
  </r>
  <r>
    <x v="1"/>
    <x v="1"/>
    <x v="2"/>
    <n v="60"/>
    <n v="54"/>
    <n v="4200"/>
    <n v="40"/>
    <n v="25000"/>
    <n v="226800"/>
    <n v="168000"/>
    <n v="58800"/>
    <n v="0.25925925925925924"/>
    <n v="1.3520000000000001"/>
    <n v="0.1"/>
  </r>
  <r>
    <x v="1"/>
    <x v="2"/>
    <x v="0"/>
    <n v="45"/>
    <n v="45"/>
    <n v="3500"/>
    <n v="28"/>
    <n v="0"/>
    <n v="157500"/>
    <n v="98000"/>
    <n v="59500"/>
    <n v="0.37777777777777777"/>
    <n v="0"/>
    <n v="0"/>
  </r>
  <r>
    <x v="2"/>
    <x v="0"/>
    <x v="0"/>
    <n v="45"/>
    <n v="39"/>
    <n v="9700"/>
    <n v="28"/>
    <n v="50000"/>
    <n v="378300"/>
    <n v="271600"/>
    <n v="106700"/>
    <n v="0.28205128205128205"/>
    <n v="1.1339999999999999"/>
    <n v="0.13333333333333333"/>
  </r>
  <r>
    <x v="2"/>
    <x v="1"/>
    <x v="1"/>
    <n v="52"/>
    <n v="48"/>
    <n v="4600"/>
    <n v="34"/>
    <n v="20000"/>
    <n v="220800"/>
    <n v="156400"/>
    <n v="64400"/>
    <n v="0.29166666666666669"/>
    <n v="2.2200000000000002"/>
    <n v="7.6923076923076927E-2"/>
  </r>
  <r>
    <x v="2"/>
    <x v="2"/>
    <x v="2"/>
    <n v="60"/>
    <n v="55"/>
    <n v="3000"/>
    <n v="40"/>
    <n v="18000"/>
    <n v="165000"/>
    <n v="120000"/>
    <n v="45000"/>
    <n v="0.27272727272727271"/>
    <n v="1.5"/>
    <n v="8.3333333333333329E-2"/>
  </r>
  <r>
    <x v="2"/>
    <x v="0"/>
    <x v="2"/>
    <n v="60"/>
    <n v="60"/>
    <n v="2500"/>
    <n v="40"/>
    <n v="0"/>
    <n v="150000"/>
    <n v="100000"/>
    <n v="50000"/>
    <n v="0.33333333333333331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53D446-D822-426B-8970-3E840D1FE9B9}" name="TablaDinámica12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A3:C7" firstHeaderRow="0" firstDataRow="1" firstDataCol="1" rowPageCount="1" colPageCount="1"/>
  <pivotFields count="14">
    <pivotField axis="axisRow" showAll="0">
      <items count="4">
        <item x="0"/>
        <item x="1"/>
        <item x="2"/>
        <item t="default"/>
      </items>
    </pivotField>
    <pivotField showAll="0"/>
    <pivotField axis="axisPage" multipleItemSelectionAllowed="1" showAll="0">
      <items count="4">
        <item x="0"/>
        <item x="1"/>
        <item x="2"/>
        <item t="default"/>
      </items>
    </pivotField>
    <pivotField numFmtId="4" showAll="0"/>
    <pivotField numFmtId="4" showAll="0"/>
    <pivotField numFmtId="4" showAll="0"/>
    <pivotField numFmtId="4" showAll="0"/>
    <pivotField numFmtId="4" showAll="0"/>
    <pivotField numFmtId="43" showAll="0"/>
    <pivotField dataField="1" numFmtId="43" showAll="0"/>
    <pivotField dataField="1" numFmtId="43" showAll="0"/>
    <pivotField numFmtId="10" showAll="0"/>
    <pivotField numFmtId="10" showAll="0"/>
    <pivotField numFmtId="167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pageFields count="1">
    <pageField fld="2" hier="-1"/>
  </pageFields>
  <dataFields count="2">
    <dataField name="Suma de    - Costo Total" fld="9" baseField="0" baseItem="0" numFmtId="43"/>
    <dataField name="Suma de    - Utilidad Bruta " fld="10" baseField="0" baseItem="0" numFmtId="43"/>
  </dataFields>
  <chartFormats count="2"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5DAC8E-922B-4A98-84D8-498408A61313}" name="TablaDinámica16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A31:B43" firstHeaderRow="1" firstDataRow="1" firstDataCol="1"/>
  <pivotFields count="14">
    <pivotField showAll="0"/>
    <pivotField axis="axisRow" showAll="0">
      <items count="4">
        <item x="2"/>
        <item x="1"/>
        <item x="0"/>
        <item t="default"/>
      </items>
    </pivotField>
    <pivotField axis="axisRow" showAll="0">
      <items count="4">
        <item x="0"/>
        <item x="1"/>
        <item x="2"/>
        <item t="default"/>
      </items>
    </pivotField>
    <pivotField numFmtId="4" showAll="0"/>
    <pivotField numFmtId="4" showAll="0"/>
    <pivotField numFmtId="4" showAll="0"/>
    <pivotField numFmtId="4" showAll="0"/>
    <pivotField numFmtId="4" showAll="0"/>
    <pivotField numFmtId="43" showAll="0"/>
    <pivotField numFmtId="43" showAll="0"/>
    <pivotField numFmtId="43" showAll="0"/>
    <pivotField dataField="1" numFmtId="10" showAll="0"/>
    <pivotField numFmtId="10" showAll="0"/>
    <pivotField numFmtId="167" showAll="0"/>
  </pivotFields>
  <rowFields count="2">
    <field x="1"/>
    <field x="2"/>
  </rowFields>
  <rowItems count="12">
    <i>
      <x/>
    </i>
    <i r="1">
      <x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 t="grand">
      <x/>
    </i>
  </rowItems>
  <colItems count="1">
    <i/>
  </colItems>
  <dataFields count="1">
    <dataField name="Suma de    - Margen %" fld="11" baseField="0" baseItem="0" numFmtId="1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7AF7AB-97B2-4F16-B01F-456AB85DF44F}" name="TablaDinámica13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A50:C54" firstHeaderRow="0" firstDataRow="1" firstDataCol="1" rowPageCount="1" colPageCount="1"/>
  <pivotFields count="14">
    <pivotField axis="axisRow" showAll="0">
      <items count="4">
        <item x="0"/>
        <item x="1"/>
        <item x="2"/>
        <item t="default"/>
      </items>
    </pivotField>
    <pivotField showAll="0"/>
    <pivotField axis="axisPage" multipleItemSelectionAllowed="1" showAll="0">
      <items count="4">
        <item x="0"/>
        <item x="1"/>
        <item x="2"/>
        <item t="default"/>
      </items>
    </pivotField>
    <pivotField numFmtId="4" showAll="0"/>
    <pivotField numFmtId="4" showAll="0"/>
    <pivotField numFmtId="4" showAll="0"/>
    <pivotField numFmtId="4" showAll="0"/>
    <pivotField numFmtId="4" showAll="0"/>
    <pivotField numFmtId="43" showAll="0"/>
    <pivotField dataField="1" numFmtId="43" showAll="0"/>
    <pivotField dataField="1" numFmtId="43" showAll="0"/>
    <pivotField numFmtId="10" showAll="0"/>
    <pivotField numFmtId="10" showAll="0"/>
    <pivotField numFmtId="167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pageFields count="1">
    <pageField fld="2" hier="-1"/>
  </pageFields>
  <dataFields count="2">
    <dataField name="Suma de    - Costo Total" fld="9" baseField="0" baseItem="0" numFmtId="43"/>
    <dataField name="Suma de    - Utilidad Bruta " fld="10" baseField="0" baseItem="0" numFmtId="43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99FE21-9F05-4D54-8B62-66C69C9C7744}" name="TablaDinámica10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A17:B28" firstHeaderRow="1" firstDataRow="1" firstDataCol="1"/>
  <pivotFields count="14">
    <pivotField axis="axisRow" showAll="0">
      <items count="4">
        <item sd="0" x="0"/>
        <item sd="0" x="1"/>
        <item x="2"/>
        <item t="default"/>
      </items>
    </pivotField>
    <pivotField axis="axisRow" showAll="0">
      <items count="4">
        <item x="2"/>
        <item x="1"/>
        <item x="0"/>
        <item t="default"/>
      </items>
    </pivotField>
    <pivotField axis="axisRow" showAll="0">
      <items count="4">
        <item x="0"/>
        <item x="1"/>
        <item x="2"/>
        <item t="default"/>
      </items>
    </pivotField>
    <pivotField numFmtId="4" showAll="0"/>
    <pivotField numFmtId="4" showAll="0"/>
    <pivotField numFmtId="4" showAll="0"/>
    <pivotField numFmtId="4" showAll="0"/>
    <pivotField numFmtId="4" showAll="0"/>
    <pivotField numFmtId="43" showAll="0"/>
    <pivotField numFmtId="43" showAll="0"/>
    <pivotField dataField="1" numFmtId="43" showAll="0"/>
    <pivotField numFmtId="10" showAll="0"/>
    <pivotField numFmtId="10" showAll="0"/>
    <pivotField numFmtId="167" showAll="0"/>
  </pivotFields>
  <rowFields count="3">
    <field x="0"/>
    <field x="1"/>
    <field x="2"/>
  </rowFields>
  <rowItems count="11">
    <i>
      <x/>
    </i>
    <i>
      <x v="1"/>
    </i>
    <i>
      <x v="2"/>
    </i>
    <i r="1">
      <x/>
    </i>
    <i r="2">
      <x v="2"/>
    </i>
    <i r="1">
      <x v="1"/>
    </i>
    <i r="2">
      <x v="1"/>
    </i>
    <i r="1">
      <x v="2"/>
    </i>
    <i r="2">
      <x/>
    </i>
    <i r="2">
      <x v="2"/>
    </i>
    <i t="grand">
      <x/>
    </i>
  </rowItems>
  <colItems count="1">
    <i/>
  </colItems>
  <dataFields count="1">
    <dataField name="Utilidad Bruta " fld="10" baseField="0" baseItem="0" numFmtId="43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5C2804-70A6-4966-90AC-416533CC2C22}" name="TablaDinámica9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2:B6" firstHeaderRow="1" firstDataRow="1" firstDataCol="1"/>
  <pivotFields count="14">
    <pivotField showAll="0"/>
    <pivotField showAll="0">
      <items count="4">
        <item x="2"/>
        <item x="1"/>
        <item x="0"/>
        <item t="default"/>
      </items>
    </pivotField>
    <pivotField axis="axisRow" showAll="0">
      <items count="4">
        <item x="0"/>
        <item x="1"/>
        <item x="2"/>
        <item t="default"/>
      </items>
    </pivotField>
    <pivotField numFmtId="4" showAll="0"/>
    <pivotField numFmtId="4" showAll="0"/>
    <pivotField numFmtId="4" showAll="0"/>
    <pivotField numFmtId="4" showAll="0"/>
    <pivotField numFmtId="4" showAll="0"/>
    <pivotField numFmtId="43" showAll="0"/>
    <pivotField numFmtId="43" showAll="0"/>
    <pivotField dataField="1" numFmtId="43" showAll="0"/>
    <pivotField numFmtId="10" showAll="0"/>
    <pivotField numFmtId="10" showAll="0"/>
    <pivotField numFmtId="167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Utilidad Bruta " fld="10" baseField="0" baseItem="0" numFmtId="43"/>
  </dataFields>
  <conditionalFormats count="1">
    <conditionalFormat priority="2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2" count="3">
              <x v="0"/>
              <x v="1"/>
              <x v="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1EFDC7-45BB-4DDC-A677-89E73006F877}" name="TablaDinámica8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9:B13" firstHeaderRow="1" firstDataRow="1" firstDataCol="1"/>
  <pivotFields count="14">
    <pivotField showAll="0"/>
    <pivotField axis="axisRow" showAll="0">
      <items count="4">
        <item x="2"/>
        <item x="1"/>
        <item x="0"/>
        <item t="default"/>
      </items>
    </pivotField>
    <pivotField showAll="0">
      <items count="4">
        <item x="0"/>
        <item x="1"/>
        <item x="2"/>
        <item t="default"/>
      </items>
    </pivotField>
    <pivotField numFmtId="4" showAll="0"/>
    <pivotField numFmtId="4" showAll="0"/>
    <pivotField numFmtId="4" showAll="0"/>
    <pivotField numFmtId="4" showAll="0"/>
    <pivotField numFmtId="4" showAll="0"/>
    <pivotField numFmtId="43" showAll="0"/>
    <pivotField numFmtId="43" showAll="0"/>
    <pivotField numFmtId="43" showAll="0"/>
    <pivotField dataField="1" numFmtId="10" showAll="0"/>
    <pivotField numFmtId="10" showAll="0"/>
    <pivotField numFmtId="167"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Margen %" fld="11" baseField="0" baseItem="0" numFmtId="10"/>
  </dataField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" count="3">
              <x v="0"/>
              <x v="1"/>
              <x v="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6.xml"/><Relationship Id="rId4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B17"/>
  <sheetViews>
    <sheetView showGridLines="0" workbookViewId="0">
      <selection activeCell="B17" sqref="B17"/>
    </sheetView>
  </sheetViews>
  <sheetFormatPr baseColWidth="10" defaultColWidth="8.7265625" defaultRowHeight="14.5" x14ac:dyDescent="0.35"/>
  <cols>
    <col min="1" max="1" width="1.81640625" customWidth="1"/>
    <col min="2" max="2" width="62" bestFit="1" customWidth="1"/>
  </cols>
  <sheetData>
    <row r="1" spans="2:2" x14ac:dyDescent="0.35">
      <c r="B1" s="1" t="s">
        <v>24</v>
      </c>
    </row>
    <row r="3" spans="2:2" x14ac:dyDescent="0.35">
      <c r="B3" s="1" t="s">
        <v>17</v>
      </c>
    </row>
    <row r="4" spans="2:2" x14ac:dyDescent="0.35">
      <c r="B4" t="s">
        <v>25</v>
      </c>
    </row>
    <row r="5" spans="2:2" x14ac:dyDescent="0.35">
      <c r="B5" t="s">
        <v>26</v>
      </c>
    </row>
    <row r="6" spans="2:2" x14ac:dyDescent="0.35">
      <c r="B6" t="s">
        <v>27</v>
      </c>
    </row>
    <row r="7" spans="2:2" x14ac:dyDescent="0.35">
      <c r="B7" t="s">
        <v>28</v>
      </c>
    </row>
    <row r="8" spans="2:2" x14ac:dyDescent="0.35">
      <c r="B8" t="s">
        <v>29</v>
      </c>
    </row>
    <row r="9" spans="2:2" x14ac:dyDescent="0.35">
      <c r="B9" t="s">
        <v>30</v>
      </c>
    </row>
    <row r="11" spans="2:2" x14ac:dyDescent="0.35">
      <c r="B11" s="1" t="s">
        <v>18</v>
      </c>
    </row>
    <row r="12" spans="2:2" x14ac:dyDescent="0.35">
      <c r="B12" t="s">
        <v>19</v>
      </c>
    </row>
    <row r="13" spans="2:2" x14ac:dyDescent="0.35">
      <c r="B13" t="s">
        <v>20</v>
      </c>
    </row>
    <row r="14" spans="2:2" x14ac:dyDescent="0.35">
      <c r="B14" t="s">
        <v>21</v>
      </c>
    </row>
    <row r="15" spans="2:2" x14ac:dyDescent="0.35">
      <c r="B15" t="s">
        <v>22</v>
      </c>
    </row>
    <row r="17" spans="2:2" x14ac:dyDescent="0.35">
      <c r="B17" s="1" t="s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B9434-C301-462B-A834-0EA82FDB5EC6}">
  <dimension ref="A1:C7"/>
  <sheetViews>
    <sheetView workbookViewId="0">
      <selection activeCell="B4" sqref="B4"/>
    </sheetView>
  </sheetViews>
  <sheetFormatPr baseColWidth="10" defaultRowHeight="14.5" x14ac:dyDescent="0.35"/>
  <cols>
    <col min="1" max="1" width="16.54296875" bestFit="1" customWidth="1"/>
    <col min="2" max="2" width="20.54296875" bestFit="1" customWidth="1"/>
    <col min="3" max="3" width="23.1796875" bestFit="1" customWidth="1"/>
  </cols>
  <sheetData>
    <row r="1" spans="1:3" x14ac:dyDescent="0.35">
      <c r="A1" s="11" t="s">
        <v>2</v>
      </c>
      <c r="B1" t="s">
        <v>44</v>
      </c>
    </row>
    <row r="3" spans="1:3" x14ac:dyDescent="0.35">
      <c r="A3" s="11" t="s">
        <v>32</v>
      </c>
      <c r="B3" t="s">
        <v>43</v>
      </c>
      <c r="C3" t="s">
        <v>34</v>
      </c>
    </row>
    <row r="4" spans="1:3" x14ac:dyDescent="0.35">
      <c r="A4" s="12" t="s">
        <v>8</v>
      </c>
      <c r="B4" s="4">
        <v>744200</v>
      </c>
      <c r="C4" s="4">
        <v>293600</v>
      </c>
    </row>
    <row r="5" spans="1:3" x14ac:dyDescent="0.35">
      <c r="A5" s="12" t="s">
        <v>14</v>
      </c>
      <c r="B5" s="4">
        <v>718000</v>
      </c>
      <c r="C5" s="4">
        <v>322800</v>
      </c>
    </row>
    <row r="6" spans="1:3" x14ac:dyDescent="0.35">
      <c r="A6" s="12" t="s">
        <v>16</v>
      </c>
      <c r="B6" s="4">
        <v>648000</v>
      </c>
      <c r="C6" s="4">
        <v>266100</v>
      </c>
    </row>
    <row r="7" spans="1:3" x14ac:dyDescent="0.35">
      <c r="A7" s="12" t="s">
        <v>33</v>
      </c>
      <c r="B7" s="4">
        <v>2110200</v>
      </c>
      <c r="C7" s="4">
        <v>882500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zoomScale="55" workbookViewId="0">
      <selection activeCell="I26" sqref="I26"/>
    </sheetView>
  </sheetViews>
  <sheetFormatPr baseColWidth="10" defaultColWidth="8.7265625" defaultRowHeight="14.5" x14ac:dyDescent="0.35"/>
  <cols>
    <col min="1" max="1" width="10.81640625" customWidth="1"/>
    <col min="2" max="3" width="8.36328125" bestFit="1" customWidth="1"/>
    <col min="4" max="4" width="12.6328125" bestFit="1" customWidth="1"/>
    <col min="5" max="5" width="11.90625" bestFit="1" customWidth="1"/>
    <col min="6" max="6" width="16.81640625" bestFit="1" customWidth="1"/>
    <col min="7" max="7" width="12.7265625" bestFit="1" customWidth="1"/>
    <col min="8" max="8" width="14.54296875" bestFit="1" customWidth="1"/>
    <col min="9" max="9" width="12.453125" bestFit="1" customWidth="1"/>
    <col min="10" max="10" width="12.6328125" bestFit="1" customWidth="1"/>
    <col min="11" max="11" width="15.1796875" bestFit="1" customWidth="1"/>
    <col min="12" max="12" width="11.6328125" bestFit="1" customWidth="1"/>
    <col min="13" max="13" width="16.26953125" bestFit="1" customWidth="1"/>
    <col min="14" max="14" width="14" bestFit="1" customWidth="1"/>
  </cols>
  <sheetData>
    <row r="1" spans="1:14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25</v>
      </c>
      <c r="J1" s="2" t="s">
        <v>26</v>
      </c>
      <c r="K1" s="2" t="s">
        <v>27</v>
      </c>
      <c r="L1" s="2" t="s">
        <v>28</v>
      </c>
      <c r="M1" s="2" t="s">
        <v>29</v>
      </c>
      <c r="N1" s="2" t="s">
        <v>30</v>
      </c>
    </row>
    <row r="2" spans="1:14" x14ac:dyDescent="0.35">
      <c r="A2" t="s">
        <v>8</v>
      </c>
      <c r="B2" t="s">
        <v>9</v>
      </c>
      <c r="C2" t="s">
        <v>10</v>
      </c>
      <c r="D2" s="3">
        <v>45</v>
      </c>
      <c r="E2" s="3">
        <v>39</v>
      </c>
      <c r="F2" s="3">
        <v>8200</v>
      </c>
      <c r="G2" s="3">
        <v>28</v>
      </c>
      <c r="H2" s="3">
        <v>45000</v>
      </c>
      <c r="I2" s="5">
        <f>E2*F2</f>
        <v>319800</v>
      </c>
      <c r="J2" s="6">
        <f>G2*F2</f>
        <v>229600</v>
      </c>
      <c r="K2" s="7">
        <f>I2-J2</f>
        <v>90200</v>
      </c>
      <c r="L2" s="8">
        <f>IFERROR(K2/I2,0)</f>
        <v>0.28205128205128205</v>
      </c>
      <c r="M2" s="5">
        <f>IFERROR((K2-H2)/H2,0)</f>
        <v>1.0044444444444445</v>
      </c>
      <c r="N2" s="9">
        <f>IFERROR((D2-E2)/D2,0)</f>
        <v>0.13333333333333333</v>
      </c>
    </row>
    <row r="3" spans="1:14" x14ac:dyDescent="0.35">
      <c r="A3" t="s">
        <v>8</v>
      </c>
      <c r="B3" t="s">
        <v>9</v>
      </c>
      <c r="C3" t="s">
        <v>11</v>
      </c>
      <c r="D3" s="3">
        <v>52</v>
      </c>
      <c r="E3" s="3">
        <v>46</v>
      </c>
      <c r="F3" s="3">
        <v>6100</v>
      </c>
      <c r="G3" s="3">
        <v>34</v>
      </c>
      <c r="H3" s="3">
        <v>38000</v>
      </c>
      <c r="I3" s="5">
        <f t="shared" ref="I3:I13" si="0">E3*F3</f>
        <v>280600</v>
      </c>
      <c r="J3" s="6">
        <f t="shared" ref="J3:J13" si="1">G3*F3</f>
        <v>207400</v>
      </c>
      <c r="K3" s="7">
        <f t="shared" ref="K3:K13" si="2">I3-J3</f>
        <v>73200</v>
      </c>
      <c r="L3" s="8">
        <f t="shared" ref="L3:L13" si="3">IFERROR(K3/I3,0)</f>
        <v>0.2608695652173913</v>
      </c>
      <c r="M3" s="5">
        <f t="shared" ref="M3:M13" si="4">IFERROR((K3-H3)/H3,0)</f>
        <v>0.9263157894736842</v>
      </c>
      <c r="N3" s="9">
        <f t="shared" ref="N3:N13" si="5">IFERROR((D3-E3)/D3,0)</f>
        <v>0.11538461538461539</v>
      </c>
    </row>
    <row r="4" spans="1:14" x14ac:dyDescent="0.35">
      <c r="A4" t="s">
        <v>8</v>
      </c>
      <c r="B4" t="s">
        <v>12</v>
      </c>
      <c r="C4" t="s">
        <v>10</v>
      </c>
      <c r="D4" s="3">
        <v>45</v>
      </c>
      <c r="E4" s="3">
        <v>42</v>
      </c>
      <c r="F4" s="3">
        <v>5400</v>
      </c>
      <c r="G4" s="3">
        <v>28</v>
      </c>
      <c r="H4" s="3">
        <v>25000</v>
      </c>
      <c r="I4" s="5">
        <f t="shared" si="0"/>
        <v>226800</v>
      </c>
      <c r="J4" s="6">
        <f t="shared" si="1"/>
        <v>151200</v>
      </c>
      <c r="K4" s="7">
        <f t="shared" si="2"/>
        <v>75600</v>
      </c>
      <c r="L4" s="8">
        <f t="shared" si="3"/>
        <v>0.33333333333333331</v>
      </c>
      <c r="M4" s="5">
        <f t="shared" si="4"/>
        <v>2.024</v>
      </c>
      <c r="N4" s="9">
        <f t="shared" si="5"/>
        <v>6.6666666666666666E-2</v>
      </c>
    </row>
    <row r="5" spans="1:14" x14ac:dyDescent="0.35">
      <c r="A5" t="s">
        <v>8</v>
      </c>
      <c r="B5" t="s">
        <v>12</v>
      </c>
      <c r="C5" t="s">
        <v>13</v>
      </c>
      <c r="D5" s="3">
        <v>60</v>
      </c>
      <c r="E5" s="3">
        <v>54</v>
      </c>
      <c r="F5" s="3">
        <v>3900</v>
      </c>
      <c r="G5" s="3">
        <v>40</v>
      </c>
      <c r="H5" s="3">
        <v>22000</v>
      </c>
      <c r="I5" s="5">
        <f t="shared" si="0"/>
        <v>210600</v>
      </c>
      <c r="J5" s="6">
        <f t="shared" si="1"/>
        <v>156000</v>
      </c>
      <c r="K5" s="7">
        <f t="shared" si="2"/>
        <v>54600</v>
      </c>
      <c r="L5" s="8">
        <f t="shared" si="3"/>
        <v>0.25925925925925924</v>
      </c>
      <c r="M5" s="5">
        <f>IFERROR((K5-H5)/H5,0)</f>
        <v>1.4818181818181819</v>
      </c>
      <c r="N5" s="9">
        <f t="shared" si="5"/>
        <v>0.1</v>
      </c>
    </row>
    <row r="6" spans="1:14" x14ac:dyDescent="0.35">
      <c r="A6" t="s">
        <v>14</v>
      </c>
      <c r="B6" t="s">
        <v>9</v>
      </c>
      <c r="C6" t="s">
        <v>10</v>
      </c>
      <c r="D6" s="3">
        <v>45</v>
      </c>
      <c r="E6" s="3">
        <v>39</v>
      </c>
      <c r="F6" s="3">
        <v>9100</v>
      </c>
      <c r="G6" s="3">
        <v>28</v>
      </c>
      <c r="H6" s="3">
        <v>47000</v>
      </c>
      <c r="I6" s="5">
        <f t="shared" si="0"/>
        <v>354900</v>
      </c>
      <c r="J6" s="6">
        <f t="shared" si="1"/>
        <v>254800</v>
      </c>
      <c r="K6" s="7">
        <f t="shared" si="2"/>
        <v>100100</v>
      </c>
      <c r="L6" s="8">
        <f t="shared" si="3"/>
        <v>0.28205128205128205</v>
      </c>
      <c r="M6" s="5">
        <f t="shared" si="4"/>
        <v>1.1297872340425532</v>
      </c>
      <c r="N6" s="9">
        <f t="shared" si="5"/>
        <v>0.13333333333333333</v>
      </c>
    </row>
    <row r="7" spans="1:14" x14ac:dyDescent="0.35">
      <c r="A7" t="s">
        <v>14</v>
      </c>
      <c r="B7" t="s">
        <v>9</v>
      </c>
      <c r="C7" t="s">
        <v>11</v>
      </c>
      <c r="D7" s="3">
        <v>52</v>
      </c>
      <c r="E7" s="3">
        <v>52</v>
      </c>
      <c r="F7" s="3">
        <v>5800</v>
      </c>
      <c r="G7" s="3">
        <v>34</v>
      </c>
      <c r="H7" s="3">
        <v>0</v>
      </c>
      <c r="I7" s="5">
        <f t="shared" si="0"/>
        <v>301600</v>
      </c>
      <c r="J7" s="6">
        <f t="shared" si="1"/>
        <v>197200</v>
      </c>
      <c r="K7" s="7">
        <f t="shared" si="2"/>
        <v>104400</v>
      </c>
      <c r="L7" s="8">
        <f t="shared" si="3"/>
        <v>0.34615384615384615</v>
      </c>
      <c r="M7" s="5">
        <f t="shared" si="4"/>
        <v>0</v>
      </c>
      <c r="N7" s="9">
        <f t="shared" si="5"/>
        <v>0</v>
      </c>
    </row>
    <row r="8" spans="1:14" x14ac:dyDescent="0.35">
      <c r="A8" t="s">
        <v>14</v>
      </c>
      <c r="B8" t="s">
        <v>12</v>
      </c>
      <c r="C8" t="s">
        <v>13</v>
      </c>
      <c r="D8" s="3">
        <v>60</v>
      </c>
      <c r="E8" s="3">
        <v>54</v>
      </c>
      <c r="F8" s="3">
        <v>4200</v>
      </c>
      <c r="G8" s="3">
        <v>40</v>
      </c>
      <c r="H8" s="3">
        <v>25000</v>
      </c>
      <c r="I8" s="5">
        <f t="shared" si="0"/>
        <v>226800</v>
      </c>
      <c r="J8" s="6">
        <f t="shared" si="1"/>
        <v>168000</v>
      </c>
      <c r="K8" s="7">
        <f t="shared" si="2"/>
        <v>58800</v>
      </c>
      <c r="L8" s="8">
        <f t="shared" si="3"/>
        <v>0.25925925925925924</v>
      </c>
      <c r="M8" s="5">
        <f t="shared" si="4"/>
        <v>1.3520000000000001</v>
      </c>
      <c r="N8" s="9">
        <f t="shared" si="5"/>
        <v>0.1</v>
      </c>
    </row>
    <row r="9" spans="1:14" x14ac:dyDescent="0.35">
      <c r="A9" t="s">
        <v>14</v>
      </c>
      <c r="B9" t="s">
        <v>15</v>
      </c>
      <c r="C9" t="s">
        <v>10</v>
      </c>
      <c r="D9" s="3">
        <v>45</v>
      </c>
      <c r="E9" s="3">
        <v>45</v>
      </c>
      <c r="F9" s="3">
        <v>3500</v>
      </c>
      <c r="G9" s="3">
        <v>28</v>
      </c>
      <c r="H9" s="3">
        <v>0</v>
      </c>
      <c r="I9" s="5">
        <f t="shared" si="0"/>
        <v>157500</v>
      </c>
      <c r="J9" s="6">
        <f t="shared" si="1"/>
        <v>98000</v>
      </c>
      <c r="K9" s="7">
        <f t="shared" si="2"/>
        <v>59500</v>
      </c>
      <c r="L9" s="8">
        <f t="shared" si="3"/>
        <v>0.37777777777777777</v>
      </c>
      <c r="M9" s="5">
        <f t="shared" si="4"/>
        <v>0</v>
      </c>
      <c r="N9" s="9">
        <f t="shared" si="5"/>
        <v>0</v>
      </c>
    </row>
    <row r="10" spans="1:14" x14ac:dyDescent="0.35">
      <c r="A10" t="s">
        <v>16</v>
      </c>
      <c r="B10" t="s">
        <v>9</v>
      </c>
      <c r="C10" t="s">
        <v>10</v>
      </c>
      <c r="D10" s="3">
        <v>45</v>
      </c>
      <c r="E10" s="3">
        <v>39</v>
      </c>
      <c r="F10" s="3">
        <v>9700</v>
      </c>
      <c r="G10" s="3">
        <v>28</v>
      </c>
      <c r="H10" s="3">
        <v>50000</v>
      </c>
      <c r="I10" s="5">
        <f t="shared" si="0"/>
        <v>378300</v>
      </c>
      <c r="J10" s="6">
        <f t="shared" si="1"/>
        <v>271600</v>
      </c>
      <c r="K10" s="7">
        <f t="shared" si="2"/>
        <v>106700</v>
      </c>
      <c r="L10" s="8">
        <f t="shared" si="3"/>
        <v>0.28205128205128205</v>
      </c>
      <c r="M10" s="5">
        <f t="shared" si="4"/>
        <v>1.1339999999999999</v>
      </c>
      <c r="N10" s="9">
        <f t="shared" si="5"/>
        <v>0.13333333333333333</v>
      </c>
    </row>
    <row r="11" spans="1:14" x14ac:dyDescent="0.35">
      <c r="A11" t="s">
        <v>16</v>
      </c>
      <c r="B11" t="s">
        <v>12</v>
      </c>
      <c r="C11" t="s">
        <v>11</v>
      </c>
      <c r="D11" s="3">
        <v>52</v>
      </c>
      <c r="E11" s="3">
        <v>48</v>
      </c>
      <c r="F11" s="3">
        <v>4600</v>
      </c>
      <c r="G11" s="3">
        <v>34</v>
      </c>
      <c r="H11" s="3">
        <v>20000</v>
      </c>
      <c r="I11" s="5">
        <f t="shared" si="0"/>
        <v>220800</v>
      </c>
      <c r="J11" s="6">
        <f t="shared" si="1"/>
        <v>156400</v>
      </c>
      <c r="K11" s="7">
        <f t="shared" si="2"/>
        <v>64400</v>
      </c>
      <c r="L11" s="8">
        <f t="shared" si="3"/>
        <v>0.29166666666666669</v>
      </c>
      <c r="M11" s="5">
        <f t="shared" si="4"/>
        <v>2.2200000000000002</v>
      </c>
      <c r="N11" s="9">
        <f t="shared" si="5"/>
        <v>7.6923076923076927E-2</v>
      </c>
    </row>
    <row r="12" spans="1:14" x14ac:dyDescent="0.35">
      <c r="A12" t="s">
        <v>16</v>
      </c>
      <c r="B12" t="s">
        <v>15</v>
      </c>
      <c r="C12" t="s">
        <v>13</v>
      </c>
      <c r="D12" s="3">
        <v>60</v>
      </c>
      <c r="E12" s="3">
        <v>55</v>
      </c>
      <c r="F12" s="3">
        <v>3000</v>
      </c>
      <c r="G12" s="3">
        <v>40</v>
      </c>
      <c r="H12" s="3">
        <v>18000</v>
      </c>
      <c r="I12" s="5">
        <f t="shared" si="0"/>
        <v>165000</v>
      </c>
      <c r="J12" s="6">
        <f t="shared" si="1"/>
        <v>120000</v>
      </c>
      <c r="K12" s="7">
        <f t="shared" si="2"/>
        <v>45000</v>
      </c>
      <c r="L12" s="8">
        <f t="shared" si="3"/>
        <v>0.27272727272727271</v>
      </c>
      <c r="M12" s="5">
        <f t="shared" si="4"/>
        <v>1.5</v>
      </c>
      <c r="N12" s="9">
        <f t="shared" si="5"/>
        <v>8.3333333333333329E-2</v>
      </c>
    </row>
    <row r="13" spans="1:14" x14ac:dyDescent="0.35">
      <c r="A13" t="s">
        <v>16</v>
      </c>
      <c r="B13" t="s">
        <v>9</v>
      </c>
      <c r="C13" t="s">
        <v>13</v>
      </c>
      <c r="D13" s="3">
        <v>60</v>
      </c>
      <c r="E13" s="3">
        <v>60</v>
      </c>
      <c r="F13" s="3">
        <v>2500</v>
      </c>
      <c r="G13" s="3">
        <v>40</v>
      </c>
      <c r="H13" s="3">
        <v>0</v>
      </c>
      <c r="I13" s="5">
        <f t="shared" si="0"/>
        <v>150000</v>
      </c>
      <c r="J13" s="6">
        <f t="shared" si="1"/>
        <v>100000</v>
      </c>
      <c r="K13" s="7">
        <f t="shared" si="2"/>
        <v>50000</v>
      </c>
      <c r="L13" s="8">
        <f t="shared" si="3"/>
        <v>0.33333333333333331</v>
      </c>
      <c r="M13" s="5">
        <f t="shared" si="4"/>
        <v>0</v>
      </c>
      <c r="N13" s="9">
        <f t="shared" si="5"/>
        <v>0</v>
      </c>
    </row>
    <row r="16" spans="1:14" x14ac:dyDescent="0.35">
      <c r="A16" s="1" t="s">
        <v>18</v>
      </c>
      <c r="F16" s="1" t="s">
        <v>31</v>
      </c>
    </row>
    <row r="17" spans="1:14" x14ac:dyDescent="0.35">
      <c r="A17" t="s">
        <v>19</v>
      </c>
      <c r="F17" s="10" t="s">
        <v>37</v>
      </c>
    </row>
    <row r="18" spans="1:14" x14ac:dyDescent="0.35">
      <c r="A18" t="s">
        <v>20</v>
      </c>
      <c r="F18" s="10" t="s">
        <v>36</v>
      </c>
    </row>
    <row r="19" spans="1:14" x14ac:dyDescent="0.35">
      <c r="A19" t="s">
        <v>21</v>
      </c>
      <c r="F19" t="s">
        <v>40</v>
      </c>
    </row>
    <row r="20" spans="1:14" x14ac:dyDescent="0.35">
      <c r="F20" s="16" t="s">
        <v>0</v>
      </c>
      <c r="G20" s="17" t="s">
        <v>1</v>
      </c>
      <c r="H20" s="18" t="s">
        <v>2</v>
      </c>
      <c r="I20" s="16" t="s">
        <v>0</v>
      </c>
      <c r="J20" s="17" t="s">
        <v>1</v>
      </c>
      <c r="K20" s="17" t="s">
        <v>2</v>
      </c>
      <c r="L20" s="16" t="s">
        <v>0</v>
      </c>
      <c r="M20" s="17" t="s">
        <v>1</v>
      </c>
      <c r="N20" s="18" t="s">
        <v>2</v>
      </c>
    </row>
    <row r="21" spans="1:14" x14ac:dyDescent="0.35">
      <c r="F21" s="19" t="s">
        <v>8</v>
      </c>
      <c r="G21" s="20" t="s">
        <v>9</v>
      </c>
      <c r="H21" s="21" t="s">
        <v>10</v>
      </c>
      <c r="I21" s="19" t="s">
        <v>14</v>
      </c>
      <c r="J21" s="20" t="s">
        <v>9</v>
      </c>
      <c r="K21" s="20" t="s">
        <v>10</v>
      </c>
      <c r="L21" s="19" t="s">
        <v>16</v>
      </c>
      <c r="M21" s="20" t="s">
        <v>9</v>
      </c>
      <c r="N21" s="21" t="s">
        <v>10</v>
      </c>
    </row>
    <row r="22" spans="1:14" x14ac:dyDescent="0.35">
      <c r="F22" s="19" t="s">
        <v>8</v>
      </c>
      <c r="G22" s="20" t="s">
        <v>12</v>
      </c>
      <c r="H22" s="21" t="s">
        <v>10</v>
      </c>
      <c r="I22" s="22" t="s">
        <v>14</v>
      </c>
      <c r="J22" s="23" t="s">
        <v>12</v>
      </c>
      <c r="K22" s="23" t="s">
        <v>13</v>
      </c>
      <c r="L22" s="19" t="s">
        <v>16</v>
      </c>
      <c r="M22" s="20" t="s">
        <v>12</v>
      </c>
      <c r="N22" s="21" t="s">
        <v>11</v>
      </c>
    </row>
    <row r="23" spans="1:14" x14ac:dyDescent="0.35">
      <c r="F23" s="22" t="s">
        <v>8</v>
      </c>
      <c r="G23" s="23" t="s">
        <v>12</v>
      </c>
      <c r="H23" s="24" t="s">
        <v>13</v>
      </c>
      <c r="L23" s="22" t="s">
        <v>16</v>
      </c>
      <c r="M23" s="23" t="s">
        <v>15</v>
      </c>
      <c r="N23" s="24" t="s">
        <v>13</v>
      </c>
    </row>
    <row r="25" spans="1:14" x14ac:dyDescent="0.35">
      <c r="A25" t="s">
        <v>22</v>
      </c>
      <c r="F25" s="14" t="s">
        <v>38</v>
      </c>
      <c r="G25" s="10" t="s">
        <v>39</v>
      </c>
    </row>
    <row r="26" spans="1:14" x14ac:dyDescent="0.35">
      <c r="F26" s="15">
        <f>CORREL(N2:N13,F2:F13)</f>
        <v>0.6532415208572917</v>
      </c>
    </row>
  </sheetData>
  <autoFilter ref="A1:N13" xr:uid="{00000000-0001-0000-0000-000000000000}"/>
  <conditionalFormatting sqref="M2:M13">
    <cfRule type="colorScale" priority="1">
      <colorScale>
        <cfvo type="min"/>
        <cfvo type="max"/>
        <color rgb="FFFCFCFF"/>
        <color rgb="FF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D02B2-2570-4C68-B8B0-48591F0CF31B}">
  <dimension ref="A2:C54"/>
  <sheetViews>
    <sheetView zoomScale="40" workbookViewId="0">
      <selection activeCell="I49" sqref="I49"/>
    </sheetView>
  </sheetViews>
  <sheetFormatPr baseColWidth="10" defaultRowHeight="14.5" x14ac:dyDescent="0.35"/>
  <cols>
    <col min="1" max="1" width="18.08984375" bestFit="1" customWidth="1"/>
    <col min="2" max="2" width="23.6328125" bestFit="1" customWidth="1"/>
    <col min="3" max="3" width="23.54296875" bestFit="1" customWidth="1"/>
  </cols>
  <sheetData>
    <row r="2" spans="1:2" x14ac:dyDescent="0.35">
      <c r="A2" s="11" t="s">
        <v>32</v>
      </c>
      <c r="B2" t="s">
        <v>41</v>
      </c>
    </row>
    <row r="3" spans="1:2" x14ac:dyDescent="0.35">
      <c r="A3" s="12" t="s">
        <v>10</v>
      </c>
      <c r="B3" s="4">
        <v>432100</v>
      </c>
    </row>
    <row r="4" spans="1:2" x14ac:dyDescent="0.35">
      <c r="A4" s="12" t="s">
        <v>11</v>
      </c>
      <c r="B4" s="4">
        <v>242000</v>
      </c>
    </row>
    <row r="5" spans="1:2" x14ac:dyDescent="0.35">
      <c r="A5" s="12" t="s">
        <v>13</v>
      </c>
      <c r="B5" s="4">
        <v>208400</v>
      </c>
    </row>
    <row r="6" spans="1:2" x14ac:dyDescent="0.35">
      <c r="A6" s="12" t="s">
        <v>33</v>
      </c>
      <c r="B6" s="4">
        <v>882500</v>
      </c>
    </row>
    <row r="9" spans="1:2" x14ac:dyDescent="0.35">
      <c r="A9" s="11" t="s">
        <v>32</v>
      </c>
      <c r="B9" t="s">
        <v>42</v>
      </c>
    </row>
    <row r="10" spans="1:2" x14ac:dyDescent="0.35">
      <c r="A10" s="12" t="s">
        <v>15</v>
      </c>
      <c r="B10" s="13">
        <v>0.65050505050505047</v>
      </c>
    </row>
    <row r="11" spans="1:2" x14ac:dyDescent="0.35">
      <c r="A11" s="12" t="s">
        <v>12</v>
      </c>
      <c r="B11" s="13">
        <v>1.1435185185185186</v>
      </c>
    </row>
    <row r="12" spans="1:2" x14ac:dyDescent="0.35">
      <c r="A12" s="12" t="s">
        <v>9</v>
      </c>
      <c r="B12" s="13">
        <v>1.7865105908584169</v>
      </c>
    </row>
    <row r="13" spans="1:2" x14ac:dyDescent="0.35">
      <c r="A13" s="12" t="s">
        <v>33</v>
      </c>
      <c r="B13" s="13">
        <v>3.580534159881986</v>
      </c>
    </row>
    <row r="17" spans="1:2" x14ac:dyDescent="0.35">
      <c r="A17" s="11" t="s">
        <v>32</v>
      </c>
      <c r="B17" t="s">
        <v>41</v>
      </c>
    </row>
    <row r="18" spans="1:2" x14ac:dyDescent="0.35">
      <c r="A18" s="12" t="s">
        <v>8</v>
      </c>
      <c r="B18" s="4">
        <v>293600</v>
      </c>
    </row>
    <row r="19" spans="1:2" x14ac:dyDescent="0.35">
      <c r="A19" s="12" t="s">
        <v>14</v>
      </c>
      <c r="B19" s="4">
        <v>322800</v>
      </c>
    </row>
    <row r="20" spans="1:2" x14ac:dyDescent="0.35">
      <c r="A20" s="12" t="s">
        <v>16</v>
      </c>
      <c r="B20" s="4">
        <v>266100</v>
      </c>
    </row>
    <row r="21" spans="1:2" x14ac:dyDescent="0.35">
      <c r="A21" s="25" t="s">
        <v>15</v>
      </c>
      <c r="B21" s="4">
        <v>45000</v>
      </c>
    </row>
    <row r="22" spans="1:2" x14ac:dyDescent="0.35">
      <c r="A22" s="26" t="s">
        <v>13</v>
      </c>
      <c r="B22" s="4">
        <v>45000</v>
      </c>
    </row>
    <row r="23" spans="1:2" x14ac:dyDescent="0.35">
      <c r="A23" s="25" t="s">
        <v>12</v>
      </c>
      <c r="B23" s="4">
        <v>64400</v>
      </c>
    </row>
    <row r="24" spans="1:2" x14ac:dyDescent="0.35">
      <c r="A24" s="26" t="s">
        <v>11</v>
      </c>
      <c r="B24" s="4">
        <v>64400</v>
      </c>
    </row>
    <row r="25" spans="1:2" x14ac:dyDescent="0.35">
      <c r="A25" s="25" t="s">
        <v>9</v>
      </c>
      <c r="B25" s="4">
        <v>156700</v>
      </c>
    </row>
    <row r="26" spans="1:2" x14ac:dyDescent="0.35">
      <c r="A26" s="26" t="s">
        <v>10</v>
      </c>
      <c r="B26" s="4">
        <v>106700</v>
      </c>
    </row>
    <row r="27" spans="1:2" x14ac:dyDescent="0.35">
      <c r="A27" s="26" t="s">
        <v>13</v>
      </c>
      <c r="B27" s="4">
        <v>50000</v>
      </c>
    </row>
    <row r="28" spans="1:2" x14ac:dyDescent="0.35">
      <c r="A28" s="12" t="s">
        <v>33</v>
      </c>
      <c r="B28" s="4">
        <v>882500</v>
      </c>
    </row>
    <row r="31" spans="1:2" x14ac:dyDescent="0.35">
      <c r="A31" s="11" t="s">
        <v>32</v>
      </c>
      <c r="B31" t="s">
        <v>35</v>
      </c>
    </row>
    <row r="32" spans="1:2" x14ac:dyDescent="0.35">
      <c r="A32" s="12" t="s">
        <v>15</v>
      </c>
      <c r="B32" s="13">
        <v>0.65050505050505047</v>
      </c>
    </row>
    <row r="33" spans="1:2" x14ac:dyDescent="0.35">
      <c r="A33" s="25" t="s">
        <v>10</v>
      </c>
      <c r="B33" s="13">
        <v>0.37777777777777777</v>
      </c>
    </row>
    <row r="34" spans="1:2" x14ac:dyDescent="0.35">
      <c r="A34" s="25" t="s">
        <v>13</v>
      </c>
      <c r="B34" s="13">
        <v>0.27272727272727271</v>
      </c>
    </row>
    <row r="35" spans="1:2" x14ac:dyDescent="0.35">
      <c r="A35" s="12" t="s">
        <v>12</v>
      </c>
      <c r="B35" s="13">
        <v>1.1435185185185186</v>
      </c>
    </row>
    <row r="36" spans="1:2" x14ac:dyDescent="0.35">
      <c r="A36" s="25" t="s">
        <v>10</v>
      </c>
      <c r="B36" s="13">
        <v>0.33333333333333331</v>
      </c>
    </row>
    <row r="37" spans="1:2" x14ac:dyDescent="0.35">
      <c r="A37" s="25" t="s">
        <v>11</v>
      </c>
      <c r="B37" s="13">
        <v>0.29166666666666669</v>
      </c>
    </row>
    <row r="38" spans="1:2" x14ac:dyDescent="0.35">
      <c r="A38" s="25" t="s">
        <v>13</v>
      </c>
      <c r="B38" s="13">
        <v>0.51851851851851849</v>
      </c>
    </row>
    <row r="39" spans="1:2" x14ac:dyDescent="0.35">
      <c r="A39" s="12" t="s">
        <v>9</v>
      </c>
      <c r="B39" s="13">
        <v>1.7865105908584169</v>
      </c>
    </row>
    <row r="40" spans="1:2" x14ac:dyDescent="0.35">
      <c r="A40" s="25" t="s">
        <v>10</v>
      </c>
      <c r="B40" s="13">
        <v>0.84615384615384615</v>
      </c>
    </row>
    <row r="41" spans="1:2" x14ac:dyDescent="0.35">
      <c r="A41" s="25" t="s">
        <v>11</v>
      </c>
      <c r="B41" s="13">
        <v>0.60702341137123739</v>
      </c>
    </row>
    <row r="42" spans="1:2" x14ac:dyDescent="0.35">
      <c r="A42" s="25" t="s">
        <v>13</v>
      </c>
      <c r="B42" s="13">
        <v>0.33333333333333331</v>
      </c>
    </row>
    <row r="43" spans="1:2" x14ac:dyDescent="0.35">
      <c r="A43" s="12" t="s">
        <v>33</v>
      </c>
      <c r="B43" s="13">
        <v>3.580534159881986</v>
      </c>
    </row>
    <row r="48" spans="1:2" x14ac:dyDescent="0.35">
      <c r="A48" s="11" t="s">
        <v>2</v>
      </c>
      <c r="B48" t="s">
        <v>44</v>
      </c>
    </row>
    <row r="50" spans="1:3" x14ac:dyDescent="0.35">
      <c r="A50" s="11" t="s">
        <v>32</v>
      </c>
      <c r="B50" s="11" t="s">
        <v>43</v>
      </c>
      <c r="C50" t="s">
        <v>34</v>
      </c>
    </row>
    <row r="51" spans="1:3" x14ac:dyDescent="0.35">
      <c r="A51" s="12" t="s">
        <v>8</v>
      </c>
      <c r="B51" s="4">
        <v>744200</v>
      </c>
      <c r="C51" s="4">
        <v>293600</v>
      </c>
    </row>
    <row r="52" spans="1:3" x14ac:dyDescent="0.35">
      <c r="A52" s="12" t="s">
        <v>14</v>
      </c>
      <c r="B52" s="4">
        <v>718000</v>
      </c>
      <c r="C52" s="4">
        <v>322800</v>
      </c>
    </row>
    <row r="53" spans="1:3" x14ac:dyDescent="0.35">
      <c r="A53" s="12" t="s">
        <v>16</v>
      </c>
      <c r="B53" s="4">
        <v>648000</v>
      </c>
      <c r="C53" s="4">
        <v>266100</v>
      </c>
    </row>
    <row r="54" spans="1:3" x14ac:dyDescent="0.35">
      <c r="A54" s="12" t="s">
        <v>33</v>
      </c>
      <c r="B54" s="4">
        <v>2110200</v>
      </c>
      <c r="C54" s="4">
        <v>882500</v>
      </c>
    </row>
  </sheetData>
  <conditionalFormatting pivot="1" sqref="B3:B5">
    <cfRule type="colorScale" priority="2">
      <colorScale>
        <cfvo type="min"/>
        <cfvo type="max"/>
        <color rgb="FFFCFCFF"/>
        <color rgb="FF63BE7B"/>
      </colorScale>
    </cfRule>
  </conditionalFormatting>
  <conditionalFormatting pivot="1" sqref="B10:B12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Instrucciones</vt:lpstr>
      <vt:lpstr>Hoja5</vt:lpstr>
      <vt:lpstr>Base de Datos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Humberto Ortiz Espinoza</cp:lastModifiedBy>
  <dcterms:created xsi:type="dcterms:W3CDTF">2026-02-11T20:07:25Z</dcterms:created>
  <dcterms:modified xsi:type="dcterms:W3CDTF">2026-02-17T23:32:14Z</dcterms:modified>
</cp:coreProperties>
</file>